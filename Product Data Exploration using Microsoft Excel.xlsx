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E9EB1180992CA1B/Documents/"/>
    </mc:Choice>
  </mc:AlternateContent>
  <xr:revisionPtr revIDLastSave="0" documentId="8_{4ED8355D-9E97-48AC-A948-D7C26B0AE8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R53" i="1" l="1"/>
  <c r="R43" i="1"/>
  <c r="T20" i="1"/>
  <c r="T11" i="1"/>
  <c r="N28" i="1"/>
  <c r="N19" i="1"/>
  <c r="N1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<sst xmlns="http://schemas.openxmlformats.org/spreadsheetml/2006/main" count="170" uniqueCount="121">
  <si>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</si>
  <si>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</si>
  <si>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</si>
  <si>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</si>
  <si>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</si>
  <si>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</si>
  <si>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</si>
  <si>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</si>
  <si>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</si>
  <si>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</si>
  <si>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</si>
  <si>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</si>
  <si>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</si>
  <si>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</si>
  <si>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</si>
  <si>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</si>
  <si>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</si>
  <si>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</si>
  <si>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</si>
  <si>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</si>
  <si>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</si>
  <si>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</si>
  <si>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</si>
  <si>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</si>
  <si>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</si>
  <si>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</si>
  <si>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</si>
  <si>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</si>
  <si>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</si>
  <si>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</si>
  <si>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</si>
  <si>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</si>
  <si>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</si>
  <si>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</si>
  <si>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</si>
  <si>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</si>
  <si>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</si>
  <si>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</si>
  <si>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</si>
  <si>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</si>
  <si>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</si>
  <si>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</si>
  <si>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</si>
  <si>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</si>
  <si>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</si>
  <si>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</si>
  <si>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</si>
  <si>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</si>
  <si>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</si>
  <si>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</si>
  <si>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</si>
  <si>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</si>
  <si>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</si>
  <si>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</si>
  <si>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</si>
  <si>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</si>
  <si>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</si>
  <si>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</si>
  <si>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</si>
  <si>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</si>
  <si>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</si>
  <si>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</si>
  <si>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</si>
  <si>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</si>
  <si>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</si>
  <si>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</si>
  <si>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</si>
  <si>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</si>
  <si>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</si>
  <si>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</si>
  <si>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</si>
  <si>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</si>
  <si>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</si>
  <si>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</si>
  <si>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</si>
  <si>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</si>
  <si>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</si>
  <si>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</si>
  <si>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</si>
  <si>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</si>
  <si>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</si>
  <si>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</si>
  <si>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</si>
  <si>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</si>
  <si>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</si>
  <si>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</si>
  <si>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</si>
  <si>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</si>
  <si>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</si>
  <si>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</si>
  <si>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</si>
  <si>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</si>
  <si>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</si>
  <si>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</si>
  <si>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</si>
  <si>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</si>
  <si>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</si>
  <si>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1. Sum, Count and Average</t>
  </si>
  <si>
    <t>Calculate the total price of all products</t>
  </si>
  <si>
    <t>FORMULA  =SUM(D2:D35)</t>
  </si>
  <si>
    <t xml:space="preserve">Total Price </t>
  </si>
  <si>
    <t>Determine how many products exist</t>
  </si>
  <si>
    <t>Total Count</t>
  </si>
  <si>
    <t>FORMULA  =COUNTA(B2:B35)</t>
  </si>
  <si>
    <t>Calculate Average price of the products</t>
  </si>
  <si>
    <t>FORMULA  =AVERAGE(D2:D35)</t>
  </si>
  <si>
    <t>Average</t>
  </si>
  <si>
    <t>2. Minimum and Maximum values</t>
  </si>
  <si>
    <t>Identify the minimum price among all products</t>
  </si>
  <si>
    <t>FORMULA  =MIN(D2:D35)</t>
  </si>
  <si>
    <t>Minimum Price</t>
  </si>
  <si>
    <t>Identify the maximum price among all products</t>
  </si>
  <si>
    <t>FORMULA  =MAX(D2:D35)</t>
  </si>
  <si>
    <t>Maximun Price</t>
  </si>
  <si>
    <t>4. Conditional Functions - SUMIF and COUNTIF</t>
  </si>
  <si>
    <t>Use the SUMIF function to calculate the total price of products in the
Electronics category.</t>
  </si>
  <si>
    <t>FORMULA  =SUMIF(range, criteria, [sum_range])</t>
  </si>
  <si>
    <t>Total Price</t>
  </si>
  <si>
    <t>Use the COUNTIF function to determine the number of products with a price less than $100.</t>
  </si>
  <si>
    <t>FORMULA  =COUNTIF(range, criteria)</t>
  </si>
  <si>
    <t>Number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</si>
</sst>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6"/>
      <color theme="4"/>
      <name val="Times New Roman"/>
      <family val="1"/>
    </font>
    <font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5"/>
      <name val="Arial"/>
      <family val="2"/>
      <scheme val="minor"/>
    </font>
    <font>
      <sz val="12"/>
      <color theme="6"/>
      <name val="Arial"/>
      <family val="2"/>
      <scheme val="minor"/>
    </font>
    <font>
      <sz val="11"/>
      <color theme="4" tint="-0.499984740745262"/>
      <name val="Arial"/>
      <family val="2"/>
      <scheme val="minor"/>
    </font>
    <font>
      <sz val="16"/>
      <color rgb="FF000000"/>
      <name val="Times New Roman"/>
      <family val="1"/>
    </font>
    <font>
      <sz val="14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4" tint="-0.499984740745262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6" fillId="4" borderId="6" xfId="0" applyFont="1" applyFill="1" applyBorder="1"/>
    <xf numFmtId="0" fontId="5" fillId="4" borderId="1" xfId="0" applyFont="1" applyFill="1" applyBorder="1"/>
    <xf numFmtId="0" fontId="5" fillId="4" borderId="7" xfId="0" applyFont="1" applyFill="1" applyBorder="1"/>
    <xf numFmtId="0" fontId="0" fillId="4" borderId="5" xfId="0" applyFill="1" applyBorder="1"/>
    <xf numFmtId="0" fontId="0" fillId="4" borderId="0" xfId="0" applyFill="1"/>
    <xf numFmtId="0" fontId="0" fillId="4" borderId="3" xfId="0" applyFill="1" applyBorder="1"/>
    <xf numFmtId="0" fontId="7" fillId="4" borderId="0" xfId="0" applyFont="1" applyFill="1"/>
    <xf numFmtId="0" fontId="8" fillId="4" borderId="5" xfId="0" applyFont="1" applyFill="1" applyBorder="1" applyAlignment="1">
      <alignment vertical="center"/>
    </xf>
    <xf numFmtId="164" fontId="8" fillId="4" borderId="0" xfId="0" applyNumberFormat="1" applyFont="1" applyFill="1"/>
    <xf numFmtId="0" fontId="0" fillId="4" borderId="4" xfId="0" applyFill="1" applyBorder="1"/>
    <xf numFmtId="0" fontId="8" fillId="4" borderId="8" xfId="0" applyFont="1" applyFill="1" applyBorder="1"/>
    <xf numFmtId="0" fontId="0" fillId="4" borderId="2" xfId="0" applyFill="1" applyBorder="1"/>
    <xf numFmtId="164" fontId="8" fillId="4" borderId="8" xfId="0" applyNumberFormat="1" applyFont="1" applyFill="1" applyBorder="1"/>
    <xf numFmtId="0" fontId="4" fillId="4" borderId="0" xfId="0" applyFont="1" applyFill="1"/>
    <xf numFmtId="0" fontId="4" fillId="4" borderId="3" xfId="0" applyFont="1" applyFill="1" applyBorder="1"/>
    <xf numFmtId="0" fontId="9" fillId="0" borderId="0" xfId="0" applyFont="1"/>
    <xf numFmtId="0" fontId="10" fillId="4" borderId="6" xfId="0" applyFont="1" applyFill="1" applyBorder="1"/>
    <xf numFmtId="0" fontId="0" fillId="4" borderId="1" xfId="0" applyFill="1" applyBorder="1"/>
    <xf numFmtId="0" fontId="10" fillId="5" borderId="6" xfId="0" applyFont="1" applyFill="1" applyBorder="1"/>
    <xf numFmtId="0" fontId="0" fillId="5" borderId="1" xfId="0" applyFill="1" applyBorder="1"/>
    <xf numFmtId="0" fontId="0" fillId="5" borderId="7" xfId="0" applyFill="1" applyBorder="1"/>
    <xf numFmtId="0" fontId="0" fillId="5" borderId="5" xfId="0" applyFill="1" applyBorder="1"/>
    <xf numFmtId="0" fontId="0" fillId="5" borderId="0" xfId="0" applyFill="1"/>
    <xf numFmtId="0" fontId="0" fillId="5" borderId="3" xfId="0" applyFill="1" applyBorder="1"/>
    <xf numFmtId="0" fontId="7" fillId="5" borderId="0" xfId="0" applyFont="1" applyFill="1"/>
    <xf numFmtId="0" fontId="0" fillId="5" borderId="4" xfId="0" applyFill="1" applyBorder="1"/>
    <xf numFmtId="0" fontId="8" fillId="5" borderId="8" xfId="0" applyFont="1" applyFill="1" applyBorder="1"/>
    <xf numFmtId="0" fontId="0" fillId="5" borderId="8" xfId="0" applyFill="1" applyBorder="1"/>
    <xf numFmtId="0" fontId="0" fillId="5" borderId="2" xfId="0" applyFill="1" applyBorder="1"/>
    <xf numFmtId="0" fontId="6" fillId="5" borderId="6" xfId="0" applyFont="1" applyFill="1" applyBorder="1"/>
    <xf numFmtId="0" fontId="6" fillId="6" borderId="6" xfId="0" applyFont="1" applyFill="1" applyBorder="1"/>
    <xf numFmtId="0" fontId="0" fillId="6" borderId="1" xfId="0" applyFill="1" applyBorder="1"/>
    <xf numFmtId="0" fontId="0" fillId="6" borderId="7" xfId="0" applyFill="1" applyBorder="1"/>
    <xf numFmtId="0" fontId="0" fillId="6" borderId="5" xfId="0" applyFill="1" applyBorder="1"/>
    <xf numFmtId="0" fontId="0" fillId="6" borderId="0" xfId="0" applyFill="1"/>
    <xf numFmtId="0" fontId="0" fillId="6" borderId="3" xfId="0" applyFill="1" applyBorder="1"/>
    <xf numFmtId="0" fontId="7" fillId="6" borderId="0" xfId="0" applyFont="1" applyFill="1"/>
    <xf numFmtId="0" fontId="0" fillId="6" borderId="4" xfId="0" applyFill="1" applyBorder="1"/>
    <xf numFmtId="0" fontId="11" fillId="6" borderId="8" xfId="0" applyFont="1" applyFill="1" applyBorder="1"/>
    <xf numFmtId="0" fontId="8" fillId="6" borderId="8" xfId="0" applyFont="1" applyFill="1" applyBorder="1"/>
    <xf numFmtId="0" fontId="12" fillId="6" borderId="8" xfId="0" applyFont="1" applyFill="1" applyBorder="1"/>
    <xf numFmtId="0" fontId="0" fillId="6" borderId="8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90" zoomScaleNormal="90" workbookViewId="0">
      <selection activeCell="M41" sqref="M41"/>
    </sheetView>
  </sheetViews>
  <sheetFormatPr defaultColWidth="12.5703125" defaultRowHeight="15" customHeight="1" x14ac:dyDescent="0.2"/>
  <cols>
    <col min="2" max="2" width="14.140625" customWidth="1"/>
    <col min="7" max="7" width="13.140625" customWidth="1"/>
    <col min="19" max="19" width="14.7109375" customWidth="1"/>
  </cols>
  <sheetData>
    <row r="1" spans="1:2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25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IF(D2&gt;500,"High Price","Standard Price")</f>
        <v>High Price</v>
      </c>
      <c r="H2" s="4" t="str">
        <f>LEFT(A2,2)</f>
        <v>28</v>
      </c>
      <c r="I2" s="4" t="str">
        <f>RIGHT(A2,2)</f>
        <v>US</v>
      </c>
      <c r="J2" s="4" t="str">
        <f>MID(A2,4,3)</f>
        <v>JAN</v>
      </c>
    </row>
    <row r="3" spans="1:25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 t="shared" ref="G3:G35" si="0">IF(D3&gt;500,"High Price","Standard Price")</f>
        <v>Standard Price</v>
      </c>
      <c r="H3" s="5" t="str">
        <f t="shared" ref="H3:H35" si="1">LEFT(A3,2)</f>
        <v>15</v>
      </c>
      <c r="I3" s="5" t="str">
        <f t="shared" ref="I3:I35" si="2">RIGHT(A3,2)</f>
        <v>US</v>
      </c>
      <c r="J3" s="5" t="str">
        <f t="shared" ref="J3:J35" si="3">MID(A3,4,3)</f>
        <v>FEB</v>
      </c>
    </row>
    <row r="4" spans="1:25" ht="15.75" customHeight="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s="4" t="str">
        <f t="shared" si="1"/>
        <v>03</v>
      </c>
      <c r="I4" s="4" t="str">
        <f t="shared" si="2"/>
        <v>US</v>
      </c>
      <c r="J4" s="4" t="str">
        <f t="shared" si="3"/>
        <v>MAR</v>
      </c>
      <c r="L4" s="6" t="s">
        <v>97</v>
      </c>
      <c r="M4" s="22"/>
      <c r="N4" s="22"/>
      <c r="R4" s="6" t="s">
        <v>107</v>
      </c>
      <c r="Y4" s="6"/>
    </row>
    <row r="5" spans="1:25" ht="15.75" customHeight="1" thickBo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0"/>
        <v>High Price</v>
      </c>
      <c r="H5" s="5" t="str">
        <f t="shared" si="1"/>
        <v>11</v>
      </c>
      <c r="I5" s="5" t="str">
        <f t="shared" si="2"/>
        <v>US</v>
      </c>
      <c r="J5" s="5" t="str">
        <f t="shared" si="3"/>
        <v>APR</v>
      </c>
    </row>
    <row r="6" spans="1:25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H6" s="4" t="str">
        <f t="shared" si="1"/>
        <v>22</v>
      </c>
      <c r="I6" s="4" t="str">
        <f t="shared" si="2"/>
        <v>US</v>
      </c>
      <c r="J6" s="4" t="str">
        <f t="shared" si="3"/>
        <v>MAY</v>
      </c>
      <c r="L6" s="7" t="s">
        <v>98</v>
      </c>
      <c r="M6" s="8"/>
      <c r="N6" s="8"/>
      <c r="O6" s="9"/>
      <c r="R6" s="25" t="s">
        <v>108</v>
      </c>
      <c r="S6" s="26"/>
      <c r="T6" s="26"/>
      <c r="U6" s="26"/>
      <c r="V6" s="27"/>
    </row>
    <row r="7" spans="1:25" ht="15.75" customHeight="1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0"/>
        <v>Standard Price</v>
      </c>
      <c r="H7" s="5" t="str">
        <f t="shared" si="1"/>
        <v>07</v>
      </c>
      <c r="I7" s="5" t="str">
        <f t="shared" si="2"/>
        <v>UK</v>
      </c>
      <c r="J7" s="5" t="str">
        <f t="shared" si="3"/>
        <v>JUN</v>
      </c>
      <c r="L7" s="10"/>
      <c r="M7" s="11"/>
      <c r="N7" s="11"/>
      <c r="O7" s="12"/>
      <c r="R7" s="28"/>
      <c r="S7" s="29"/>
      <c r="T7" s="29"/>
      <c r="U7" s="29"/>
      <c r="V7" s="30"/>
    </row>
    <row r="8" spans="1:25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s="4" t="str">
        <f t="shared" si="1"/>
        <v>19</v>
      </c>
      <c r="I8" s="4" t="str">
        <f t="shared" si="2"/>
        <v>UK</v>
      </c>
      <c r="J8" s="4" t="str">
        <f t="shared" si="3"/>
        <v>JUL</v>
      </c>
      <c r="L8" s="10"/>
      <c r="M8" s="13"/>
      <c r="N8" s="11"/>
      <c r="O8" s="12"/>
      <c r="R8" s="28"/>
      <c r="S8" s="29"/>
      <c r="T8" s="29"/>
      <c r="U8" s="29"/>
      <c r="V8" s="30"/>
    </row>
    <row r="9" spans="1:25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0"/>
        <v>Standard Price</v>
      </c>
      <c r="H9" s="5" t="str">
        <f t="shared" si="1"/>
        <v>23</v>
      </c>
      <c r="I9" s="5" t="str">
        <f t="shared" si="2"/>
        <v>UK</v>
      </c>
      <c r="J9" s="5" t="str">
        <f t="shared" si="3"/>
        <v>AUG</v>
      </c>
      <c r="L9" s="10"/>
      <c r="M9" s="13" t="s">
        <v>99</v>
      </c>
      <c r="N9" s="20"/>
      <c r="O9" s="21"/>
      <c r="R9" s="28"/>
      <c r="S9" s="31" t="s">
        <v>109</v>
      </c>
      <c r="T9" s="29"/>
      <c r="U9" s="29"/>
      <c r="V9" s="30"/>
    </row>
    <row r="10" spans="1:25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Standard Price</v>
      </c>
      <c r="H10" s="4" t="str">
        <f t="shared" si="1"/>
        <v>05</v>
      </c>
      <c r="I10" s="4" t="str">
        <f t="shared" si="2"/>
        <v>UK</v>
      </c>
      <c r="J10" s="4" t="str">
        <f t="shared" si="3"/>
        <v>SEP</v>
      </c>
      <c r="L10" s="14"/>
      <c r="M10" s="15"/>
      <c r="N10" s="11"/>
      <c r="O10" s="12"/>
      <c r="R10" s="28"/>
      <c r="S10" s="29"/>
      <c r="T10" s="29"/>
      <c r="U10" s="29"/>
      <c r="V10" s="30"/>
    </row>
    <row r="11" spans="1:25" ht="15.75" customHeight="1" thickBo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0"/>
        <v>Standard Price</v>
      </c>
      <c r="H11" s="5" t="str">
        <f t="shared" si="1"/>
        <v>14</v>
      </c>
      <c r="I11" s="5" t="str">
        <f t="shared" si="2"/>
        <v>UK</v>
      </c>
      <c r="J11" s="5" t="str">
        <f t="shared" si="3"/>
        <v>OCT</v>
      </c>
      <c r="L11" s="16"/>
      <c r="M11" s="17" t="s">
        <v>100</v>
      </c>
      <c r="N11" s="19">
        <f>SUM(D2:D35)</f>
        <v>10100</v>
      </c>
      <c r="O11" s="18"/>
      <c r="R11" s="32"/>
      <c r="S11" s="33" t="s">
        <v>110</v>
      </c>
      <c r="T11" s="33">
        <f>MIN(D2:D35)</f>
        <v>30</v>
      </c>
      <c r="U11" s="34"/>
      <c r="V11" s="35"/>
    </row>
    <row r="12" spans="1:25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H12" s="4" t="str">
        <f t="shared" si="1"/>
        <v>17</v>
      </c>
      <c r="I12" s="4" t="str">
        <f t="shared" si="2"/>
        <v>IN</v>
      </c>
      <c r="J12" s="4" t="str">
        <f t="shared" si="3"/>
        <v>JUN</v>
      </c>
    </row>
    <row r="13" spans="1:25" ht="15.75" customHeight="1" thickBo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0"/>
        <v>Standard Price</v>
      </c>
      <c r="H13" s="5" t="str">
        <f t="shared" si="1"/>
        <v>25</v>
      </c>
      <c r="I13" s="5" t="str">
        <f t="shared" si="2"/>
        <v>AU</v>
      </c>
      <c r="J13" s="5" t="str">
        <f t="shared" si="3"/>
        <v>NOV</v>
      </c>
    </row>
    <row r="14" spans="1:25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s="4" t="str">
        <f t="shared" si="1"/>
        <v>08</v>
      </c>
      <c r="I14" s="4" t="str">
        <f t="shared" si="2"/>
        <v>DE</v>
      </c>
      <c r="J14" s="4" t="str">
        <f t="shared" si="3"/>
        <v>DEC</v>
      </c>
      <c r="L14" s="23" t="s">
        <v>101</v>
      </c>
      <c r="M14" s="8"/>
      <c r="N14" s="8"/>
      <c r="O14" s="9"/>
      <c r="R14" s="36" t="s">
        <v>111</v>
      </c>
      <c r="S14" s="26"/>
      <c r="T14" s="26"/>
      <c r="U14" s="26"/>
      <c r="V14" s="27"/>
    </row>
    <row r="15" spans="1:25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si="0"/>
        <v>Standard Price</v>
      </c>
      <c r="H15" s="5" t="str">
        <f t="shared" si="1"/>
        <v>18</v>
      </c>
      <c r="I15" s="5" t="str">
        <f t="shared" si="2"/>
        <v>CA</v>
      </c>
      <c r="J15" s="5" t="str">
        <f t="shared" si="3"/>
        <v>FEB</v>
      </c>
      <c r="L15" s="10"/>
      <c r="M15" s="11"/>
      <c r="N15" s="11"/>
      <c r="O15" s="12"/>
      <c r="R15" s="28"/>
      <c r="S15" s="29"/>
      <c r="T15" s="29"/>
      <c r="U15" s="29"/>
      <c r="V15" s="30"/>
    </row>
    <row r="16" spans="1:25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s="4" t="str">
        <f t="shared" si="1"/>
        <v>16</v>
      </c>
      <c r="I16" s="4" t="str">
        <f t="shared" si="2"/>
        <v>ES</v>
      </c>
      <c r="J16" s="4" t="str">
        <f t="shared" si="3"/>
        <v>APR</v>
      </c>
      <c r="L16" s="10"/>
      <c r="M16" s="11"/>
      <c r="N16" s="11"/>
      <c r="O16" s="12"/>
      <c r="R16" s="28"/>
      <c r="S16" s="29"/>
      <c r="T16" s="29"/>
      <c r="U16" s="29"/>
      <c r="V16" s="30"/>
    </row>
    <row r="17" spans="1:22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0"/>
        <v>Standard Price</v>
      </c>
      <c r="H17" s="5" t="str">
        <f t="shared" si="1"/>
        <v>21</v>
      </c>
      <c r="I17" s="5" t="str">
        <f t="shared" si="2"/>
        <v>CA</v>
      </c>
      <c r="J17" s="5" t="str">
        <f t="shared" si="3"/>
        <v>AUG</v>
      </c>
      <c r="L17" s="10"/>
      <c r="M17" s="13" t="s">
        <v>103</v>
      </c>
      <c r="N17" s="20"/>
      <c r="O17" s="21"/>
      <c r="R17" s="28"/>
      <c r="S17" s="29"/>
      <c r="T17" s="29"/>
      <c r="U17" s="29"/>
      <c r="V17" s="30"/>
    </row>
    <row r="18" spans="1:22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s="4" t="str">
        <f t="shared" si="1"/>
        <v>20</v>
      </c>
      <c r="I18" s="4" t="str">
        <f t="shared" si="2"/>
        <v>CN</v>
      </c>
      <c r="J18" s="4" t="str">
        <f t="shared" si="3"/>
        <v>AUG</v>
      </c>
      <c r="L18" s="10"/>
      <c r="M18" s="11"/>
      <c r="N18" s="11"/>
      <c r="O18" s="12"/>
      <c r="R18" s="28"/>
      <c r="S18" s="31" t="s">
        <v>112</v>
      </c>
      <c r="T18" s="29"/>
      <c r="U18" s="29"/>
      <c r="V18" s="30"/>
    </row>
    <row r="19" spans="1:22" ht="15.75" customHeight="1" thickBo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0"/>
        <v>High Price</v>
      </c>
      <c r="H19" s="5" t="str">
        <f t="shared" si="1"/>
        <v>27</v>
      </c>
      <c r="I19" s="5" t="str">
        <f t="shared" si="2"/>
        <v>IT</v>
      </c>
      <c r="J19" s="5" t="str">
        <f t="shared" si="3"/>
        <v>JAN</v>
      </c>
      <c r="L19" s="16"/>
      <c r="M19" s="17" t="s">
        <v>102</v>
      </c>
      <c r="N19" s="17">
        <f>COUNTA(B2:B35)</f>
        <v>34</v>
      </c>
      <c r="O19" s="18"/>
      <c r="R19" s="28"/>
      <c r="S19" s="29"/>
      <c r="T19" s="29"/>
      <c r="U19" s="29"/>
      <c r="V19" s="30"/>
    </row>
    <row r="20" spans="1:22" ht="15.75" customHeight="1" thickBo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Standard Price</v>
      </c>
      <c r="H20" s="4" t="str">
        <f t="shared" si="1"/>
        <v>01</v>
      </c>
      <c r="I20" s="4" t="str">
        <f t="shared" si="2"/>
        <v>UK</v>
      </c>
      <c r="J20" s="4" t="str">
        <f t="shared" si="3"/>
        <v>MAR</v>
      </c>
      <c r="R20" s="32"/>
      <c r="S20" s="33" t="s">
        <v>113</v>
      </c>
      <c r="T20" s="33">
        <f>MAX(D2:D35)</f>
        <v>1000</v>
      </c>
      <c r="U20" s="34"/>
      <c r="V20" s="35"/>
    </row>
    <row r="21" spans="1:22" ht="15.75" customHeight="1" thickBo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0"/>
        <v>Standard Price</v>
      </c>
      <c r="H21" s="5" t="str">
        <f t="shared" si="1"/>
        <v>14</v>
      </c>
      <c r="I21" s="5" t="str">
        <f t="shared" si="2"/>
        <v>US</v>
      </c>
      <c r="J21" s="5" t="str">
        <f t="shared" si="3"/>
        <v>AUG</v>
      </c>
    </row>
    <row r="22" spans="1:22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High Price</v>
      </c>
      <c r="H22" s="4" t="str">
        <f t="shared" si="1"/>
        <v>14</v>
      </c>
      <c r="I22" s="4" t="str">
        <f t="shared" si="2"/>
        <v>RU</v>
      </c>
      <c r="J22" s="4" t="str">
        <f t="shared" si="3"/>
        <v>MAY</v>
      </c>
      <c r="L22" s="7" t="s">
        <v>104</v>
      </c>
      <c r="M22" s="24"/>
      <c r="N22" s="24"/>
      <c r="O22" s="9"/>
    </row>
    <row r="23" spans="1:22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0"/>
        <v>Standard Price</v>
      </c>
      <c r="H23" s="5" t="str">
        <f t="shared" si="1"/>
        <v>09</v>
      </c>
      <c r="I23" s="5" t="str">
        <f t="shared" si="2"/>
        <v>CA</v>
      </c>
      <c r="J23" s="5" t="str">
        <f t="shared" si="3"/>
        <v>JAN</v>
      </c>
      <c r="L23" s="10"/>
      <c r="M23" s="11"/>
      <c r="N23" s="11"/>
      <c r="O23" s="12"/>
    </row>
    <row r="24" spans="1:22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s="4" t="str">
        <f t="shared" si="1"/>
        <v>19</v>
      </c>
      <c r="I24" s="4" t="str">
        <f t="shared" si="2"/>
        <v>BR</v>
      </c>
      <c r="J24" s="4" t="str">
        <f t="shared" si="3"/>
        <v>JUL</v>
      </c>
      <c r="L24" s="10"/>
      <c r="M24" s="11"/>
      <c r="N24" s="11"/>
      <c r="O24" s="12"/>
    </row>
    <row r="25" spans="1:22" ht="15.75" customHeight="1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 t="shared" si="0"/>
        <v>Standard Price</v>
      </c>
      <c r="H25" s="5" t="str">
        <f t="shared" si="1"/>
        <v>21</v>
      </c>
      <c r="I25" s="5" t="str">
        <f t="shared" si="2"/>
        <v>CA</v>
      </c>
      <c r="J25" s="5" t="str">
        <f t="shared" si="3"/>
        <v>AUG</v>
      </c>
      <c r="L25" s="10"/>
      <c r="M25" s="13" t="s">
        <v>105</v>
      </c>
      <c r="N25" s="11"/>
      <c r="O25" s="12"/>
    </row>
    <row r="26" spans="1:22" ht="15.75" customHeight="1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High Price</v>
      </c>
      <c r="H26" s="4" t="str">
        <f t="shared" si="1"/>
        <v>29</v>
      </c>
      <c r="I26" s="4" t="str">
        <f t="shared" si="2"/>
        <v>CA</v>
      </c>
      <c r="J26" s="4" t="str">
        <f t="shared" si="3"/>
        <v>SEP</v>
      </c>
      <c r="L26" s="10"/>
      <c r="M26" s="11"/>
      <c r="N26" s="11"/>
      <c r="O26" s="12"/>
    </row>
    <row r="27" spans="1:22" ht="15.75" customHeight="1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0"/>
        <v>Standard Price</v>
      </c>
      <c r="H27" s="5" t="str">
        <f t="shared" si="1"/>
        <v>03</v>
      </c>
      <c r="I27" s="5" t="str">
        <f t="shared" si="2"/>
        <v>CA</v>
      </c>
      <c r="J27" s="5" t="str">
        <f t="shared" si="3"/>
        <v>JUN</v>
      </c>
      <c r="L27" s="10"/>
      <c r="M27" s="11"/>
      <c r="N27" s="11"/>
      <c r="O27" s="12"/>
    </row>
    <row r="28" spans="1:22" ht="15.75" customHeight="1" thickBo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s="4" t="str">
        <f t="shared" si="1"/>
        <v>11</v>
      </c>
      <c r="I28" s="4" t="str">
        <f t="shared" si="2"/>
        <v>CA</v>
      </c>
      <c r="J28" s="4" t="str">
        <f t="shared" si="3"/>
        <v>JUL</v>
      </c>
      <c r="L28" s="16"/>
      <c r="M28" s="17" t="s">
        <v>106</v>
      </c>
      <c r="N28" s="17">
        <f>AVERAGE(D2:D35)</f>
        <v>297.05882352941177</v>
      </c>
      <c r="O28" s="18"/>
    </row>
    <row r="29" spans="1:22" ht="15.75" customHeight="1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 t="shared" si="0"/>
        <v>Standard Price</v>
      </c>
      <c r="H29" s="5" t="str">
        <f t="shared" si="1"/>
        <v>16</v>
      </c>
      <c r="I29" s="5" t="str">
        <f t="shared" si="2"/>
        <v>ES</v>
      </c>
      <c r="J29" s="5" t="str">
        <f t="shared" si="3"/>
        <v>APR</v>
      </c>
    </row>
    <row r="30" spans="1:22" ht="15.75" customHeight="1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s="4" t="str">
        <f t="shared" si="1"/>
        <v>07</v>
      </c>
      <c r="I30" s="4" t="str">
        <f t="shared" si="2"/>
        <v>CA</v>
      </c>
      <c r="J30" s="4" t="str">
        <f t="shared" si="3"/>
        <v>MAR</v>
      </c>
    </row>
    <row r="31" spans="1:22" ht="15.75" customHeight="1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0"/>
        <v>Standard Price</v>
      </c>
      <c r="H31" s="5" t="str">
        <f t="shared" si="1"/>
        <v>13</v>
      </c>
      <c r="I31" s="5" t="str">
        <f t="shared" si="2"/>
        <v>CA</v>
      </c>
      <c r="J31" s="5" t="str">
        <f t="shared" si="3"/>
        <v>APR</v>
      </c>
    </row>
    <row r="32" spans="1:22" ht="15.75" customHeight="1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s="4" t="str">
        <f t="shared" si="1"/>
        <v>24</v>
      </c>
      <c r="I32" s="4" t="str">
        <f t="shared" si="2"/>
        <v>CA</v>
      </c>
      <c r="J32" s="4" t="str">
        <f t="shared" si="3"/>
        <v>MAY</v>
      </c>
    </row>
    <row r="33" spans="1:23" ht="15.75" customHeight="1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0"/>
        <v>Standard Price</v>
      </c>
      <c r="H33" s="5" t="str">
        <f t="shared" si="1"/>
        <v>02</v>
      </c>
      <c r="I33" s="5" t="str">
        <f t="shared" si="2"/>
        <v>CA</v>
      </c>
      <c r="J33" s="5" t="str">
        <f t="shared" si="3"/>
        <v>DEC</v>
      </c>
    </row>
    <row r="34" spans="1:23" ht="15.75" customHeight="1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High Price</v>
      </c>
      <c r="H34" s="4" t="str">
        <f t="shared" si="1"/>
        <v>17</v>
      </c>
      <c r="I34" s="4" t="str">
        <f t="shared" si="2"/>
        <v>IN</v>
      </c>
      <c r="J34" s="4" t="str">
        <f t="shared" si="3"/>
        <v>JUN</v>
      </c>
      <c r="O34" s="6" t="s">
        <v>114</v>
      </c>
    </row>
    <row r="35" spans="1:23" ht="15.75" customHeight="1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 t="shared" si="0"/>
        <v>Standard Price</v>
      </c>
      <c r="H35" s="5" t="str">
        <f t="shared" si="1"/>
        <v>09</v>
      </c>
      <c r="I35" s="5" t="str">
        <f t="shared" si="2"/>
        <v>FR</v>
      </c>
      <c r="J35" s="5" t="str">
        <f t="shared" si="3"/>
        <v>JUL</v>
      </c>
    </row>
    <row r="36" spans="1:23" ht="15.75" customHeight="1" thickBot="1" x14ac:dyDescent="0.25">
      <c r="G36" s="2"/>
    </row>
    <row r="37" spans="1:23" ht="15.75" customHeight="1" x14ac:dyDescent="0.25">
      <c r="O37" s="37" t="s">
        <v>115</v>
      </c>
      <c r="P37" s="38"/>
      <c r="Q37" s="38"/>
      <c r="R37" s="38"/>
      <c r="S37" s="38"/>
      <c r="T37" s="38"/>
      <c r="U37" s="38"/>
      <c r="V37" s="38"/>
      <c r="W37" s="39"/>
    </row>
    <row r="38" spans="1:23" ht="15.75" customHeight="1" x14ac:dyDescent="0.2">
      <c r="O38" s="40"/>
      <c r="P38" s="41"/>
      <c r="Q38" s="41"/>
      <c r="R38" s="41"/>
      <c r="S38" s="41"/>
      <c r="T38" s="41"/>
      <c r="U38" s="41"/>
      <c r="V38" s="41"/>
      <c r="W38" s="42"/>
    </row>
    <row r="39" spans="1:23" ht="15.75" customHeight="1" x14ac:dyDescent="0.2">
      <c r="O39" s="40"/>
      <c r="P39" s="41"/>
      <c r="Q39" s="41"/>
      <c r="R39" s="41"/>
      <c r="S39" s="41"/>
      <c r="T39" s="41"/>
      <c r="U39" s="41"/>
      <c r="V39" s="41"/>
      <c r="W39" s="42"/>
    </row>
    <row r="40" spans="1:23" ht="15.75" customHeight="1" x14ac:dyDescent="0.2">
      <c r="O40" s="40"/>
      <c r="P40" s="43" t="s">
        <v>116</v>
      </c>
      <c r="Q40" s="41"/>
      <c r="R40" s="41"/>
      <c r="S40" s="41"/>
      <c r="T40" s="41"/>
      <c r="U40" s="41"/>
      <c r="V40" s="41"/>
      <c r="W40" s="42"/>
    </row>
    <row r="41" spans="1:23" ht="15.75" customHeight="1" x14ac:dyDescent="0.2">
      <c r="O41" s="40"/>
      <c r="P41" s="41"/>
      <c r="Q41" s="41"/>
      <c r="R41" s="41"/>
      <c r="S41" s="41"/>
      <c r="T41" s="41"/>
      <c r="U41" s="41"/>
      <c r="V41" s="41"/>
      <c r="W41" s="42"/>
    </row>
    <row r="42" spans="1:23" ht="15.75" customHeight="1" x14ac:dyDescent="0.2">
      <c r="O42" s="40"/>
      <c r="P42" s="41"/>
      <c r="Q42" s="41"/>
      <c r="R42" s="41"/>
      <c r="S42" s="41"/>
      <c r="T42" s="41"/>
      <c r="U42" s="41"/>
      <c r="V42" s="41"/>
      <c r="W42" s="42"/>
    </row>
    <row r="43" spans="1:23" ht="15.75" customHeight="1" thickBot="1" x14ac:dyDescent="0.25">
      <c r="O43" s="44"/>
      <c r="P43" s="45"/>
      <c r="Q43" s="46" t="s">
        <v>117</v>
      </c>
      <c r="R43" s="47">
        <f>SUMIF(F2:F35,"Electronics",D2:D35)</f>
        <v>8050</v>
      </c>
      <c r="S43" s="48"/>
      <c r="T43" s="48"/>
      <c r="U43" s="48"/>
      <c r="V43" s="48"/>
      <c r="W43" s="49"/>
    </row>
    <row r="44" spans="1:23" ht="15.75" customHeight="1" x14ac:dyDescent="0.2"/>
    <row r="45" spans="1:23" ht="15.75" customHeight="1" x14ac:dyDescent="0.2"/>
    <row r="46" spans="1:23" ht="15.75" customHeight="1" thickBot="1" x14ac:dyDescent="0.25"/>
    <row r="47" spans="1:23" ht="15.75" customHeight="1" x14ac:dyDescent="0.25">
      <c r="O47" s="37" t="s">
        <v>118</v>
      </c>
      <c r="P47" s="38"/>
      <c r="Q47" s="38"/>
      <c r="R47" s="38"/>
      <c r="S47" s="38"/>
      <c r="T47" s="38"/>
      <c r="U47" s="38"/>
      <c r="V47" s="38"/>
      <c r="W47" s="39"/>
    </row>
    <row r="48" spans="1:23" ht="15.75" customHeight="1" x14ac:dyDescent="0.2">
      <c r="O48" s="40"/>
      <c r="P48" s="41"/>
      <c r="Q48" s="41"/>
      <c r="R48" s="41"/>
      <c r="S48" s="41"/>
      <c r="T48" s="41"/>
      <c r="U48" s="41"/>
      <c r="V48" s="41"/>
      <c r="W48" s="42"/>
    </row>
    <row r="49" spans="15:23" ht="15.75" customHeight="1" x14ac:dyDescent="0.2">
      <c r="O49" s="40"/>
      <c r="P49" s="41"/>
      <c r="Q49" s="41"/>
      <c r="R49" s="41"/>
      <c r="S49" s="41"/>
      <c r="T49" s="41"/>
      <c r="U49" s="41"/>
      <c r="V49" s="41"/>
      <c r="W49" s="42"/>
    </row>
    <row r="50" spans="15:23" ht="15.75" customHeight="1" x14ac:dyDescent="0.2">
      <c r="O50" s="40"/>
      <c r="P50" s="41"/>
      <c r="Q50" s="43" t="s">
        <v>119</v>
      </c>
      <c r="R50" s="41"/>
      <c r="S50" s="41"/>
      <c r="T50" s="41"/>
      <c r="U50" s="41"/>
      <c r="V50" s="41"/>
      <c r="W50" s="42"/>
    </row>
    <row r="51" spans="15:23" ht="15.75" customHeight="1" x14ac:dyDescent="0.2">
      <c r="O51" s="40"/>
      <c r="P51" s="41"/>
      <c r="Q51" s="41"/>
      <c r="R51" s="41"/>
      <c r="S51" s="41"/>
      <c r="T51" s="41"/>
      <c r="U51" s="41"/>
      <c r="V51" s="41"/>
      <c r="W51" s="42"/>
    </row>
    <row r="52" spans="15:23" ht="15.75" customHeight="1" x14ac:dyDescent="0.2">
      <c r="O52" s="40"/>
      <c r="P52" s="41"/>
      <c r="Q52" s="41"/>
      <c r="R52" s="41"/>
      <c r="S52" s="41"/>
      <c r="T52" s="41"/>
      <c r="U52" s="41"/>
      <c r="V52" s="41"/>
      <c r="W52" s="42"/>
    </row>
    <row r="53" spans="15:23" ht="15.75" customHeight="1" thickBot="1" x14ac:dyDescent="0.25">
      <c r="O53" s="44"/>
      <c r="P53" s="46" t="s">
        <v>120</v>
      </c>
      <c r="Q53" s="48"/>
      <c r="R53" s="46">
        <f>COUNTIF(D2:D35,"&lt;$100")</f>
        <v>11</v>
      </c>
      <c r="S53" s="48"/>
      <c r="T53" s="48"/>
      <c r="U53" s="48"/>
      <c r="V53" s="48"/>
      <c r="W53" s="49"/>
    </row>
    <row r="54" spans="15:23" ht="15.75" customHeight="1" x14ac:dyDescent="0.2"/>
    <row r="55" spans="15:23" ht="15.75" customHeight="1" x14ac:dyDescent="0.2"/>
    <row r="56" spans="15:23" ht="15.75" customHeight="1" x14ac:dyDescent="0.2"/>
    <row r="57" spans="15:23" ht="15.75" customHeight="1" x14ac:dyDescent="0.2"/>
    <row r="58" spans="15:23" ht="15.75" customHeight="1" x14ac:dyDescent="0.2"/>
    <row r="59" spans="15:23" ht="15.75" customHeight="1" x14ac:dyDescent="0.2"/>
    <row r="60" spans="15:23" ht="15.75" customHeight="1" x14ac:dyDescent="0.2"/>
    <row r="61" spans="15:23" ht="15.75" customHeight="1" x14ac:dyDescent="0.2"/>
    <row r="62" spans="15:23" ht="15.75" customHeight="1" x14ac:dyDescent="0.2"/>
    <row r="63" spans="15:23" ht="15.75" customHeight="1" x14ac:dyDescent="0.2"/>
    <row r="64" spans="15:2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Hishaam J</dc:creator>
  <cp:lastModifiedBy>Hishaam J</cp:lastModifiedBy>
  <dcterms:created xsi:type="dcterms:W3CDTF">2026-05-22T02:13:02Z</dcterms:created>
  <dcterms:modified xsi:type="dcterms:W3CDTF">2026-05-23T01:49:42Z</dcterms:modified>
</cp:coreProperties>
</file>